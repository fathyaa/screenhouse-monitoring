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 Matrix" sheetId="1" state="visible" r:id="rId1"/>
    <sheet name="Ringkasan" sheetId="2" state="visible" r:id="rId2"/>
    <sheet name="Panduan" sheetId="3" state="visible" r:id="rId3"/>
  </sheets>
  <definedNames>
    <definedName name="_xlnm._FilterDatabase" localSheetId="0" hidden="1">'UAT Matrix'!$A$1:$I$31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  <fill>
      <patternFill patternType="solid">
        <fgColor rgb="00E8F5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4" customWidth="1" min="4" max="4"/>
    <col width="42" customWidth="1" min="5" max="5"/>
    <col width="36" customWidth="1" min="6" max="6"/>
    <col width="36" customWidth="1" min="7" max="7"/>
    <col width="12" customWidth="1" min="8" max="8"/>
    <col width="28" customWidth="1" min="9" max="9"/>
  </cols>
  <sheetData>
    <row r="1" ht="28" customHeight="1">
      <c r="A1" s="1" t="inlineStr">
        <is>
          <t>ID</t>
        </is>
      </c>
      <c r="B1" s="1" t="inlineStr">
        <is>
          <t>Increment</t>
        </is>
      </c>
      <c r="C1" s="1" t="inlineStr">
        <is>
          <t>Use Case</t>
        </is>
      </c>
      <c r="D1" s="1" t="inlineStr">
        <is>
          <t>Aktor</t>
        </is>
      </c>
      <c r="E1" s="1" t="inlineStr">
        <is>
          <t>Skenario</t>
        </is>
      </c>
      <c r="F1" s="1" t="inlineStr">
        <is>
          <t>Hasil Diharapkan</t>
        </is>
      </c>
      <c r="G1" s="1" t="inlineStr">
        <is>
          <t>Hasil Aktual</t>
        </is>
      </c>
      <c r="H1" s="1" t="inlineStr">
        <is>
          <t>Status</t>
        </is>
      </c>
      <c r="I1" s="1" t="inlineStr">
        <is>
          <t>Catatan</t>
        </is>
      </c>
    </row>
    <row r="2">
      <c r="A2" s="2" t="inlineStr">
        <is>
          <t>F1-01</t>
        </is>
      </c>
      <c r="B2" s="2" t="n">
        <v>1</v>
      </c>
      <c r="C2" s="2" t="inlineStr">
        <is>
          <t>UC-01</t>
        </is>
      </c>
      <c r="D2" s="2" t="inlineStr">
        <is>
          <t>Petani</t>
        </is>
      </c>
      <c r="E2" s="3" t="inlineStr">
        <is>
          <t>Login dengan HP dan password valid</t>
        </is>
      </c>
      <c r="F2" s="3" t="inlineStr">
        <is>
          <t>Redirect ke /petani</t>
        </is>
      </c>
      <c r="G2" s="3" t="n"/>
      <c r="H2" s="2" t="n"/>
      <c r="I2" s="3" t="n"/>
    </row>
    <row r="3">
      <c r="A3" s="2" t="inlineStr">
        <is>
          <t>F1-02</t>
        </is>
      </c>
      <c r="B3" s="2" t="n">
        <v>1</v>
      </c>
      <c r="C3" s="2" t="inlineStr">
        <is>
          <t>UC-01</t>
        </is>
      </c>
      <c r="D3" s="2" t="inlineStr">
        <is>
          <t>Petani</t>
        </is>
      </c>
      <c r="E3" s="3" t="inlineStr">
        <is>
          <t>Login password salah</t>
        </is>
      </c>
      <c r="F3" s="3" t="inlineStr">
        <is>
          <t>Tampil pesan error</t>
        </is>
      </c>
      <c r="G3" s="3" t="n"/>
      <c r="H3" s="2" t="n"/>
      <c r="I3" s="3" t="n"/>
    </row>
    <row r="4">
      <c r="A4" s="2" t="inlineStr">
        <is>
          <t>F1-03</t>
        </is>
      </c>
      <c r="B4" s="2" t="n">
        <v>1</v>
      </c>
      <c r="C4" s="2" t="inlineStr">
        <is>
          <t>UC-06</t>
        </is>
      </c>
      <c r="D4" s="2" t="inlineStr">
        <is>
          <t>Sensor</t>
        </is>
      </c>
      <c r="E4" s="3" t="inlineStr">
        <is>
          <t>Publish MQTT telemetry valid</t>
        </is>
      </c>
      <c r="F4" s="3" t="inlineStr">
        <is>
          <t>Row baru di sensor_data</t>
        </is>
      </c>
      <c r="G4" s="3" t="n"/>
      <c r="H4" s="2" t="n"/>
      <c r="I4" s="3" t="n"/>
    </row>
    <row r="5">
      <c r="A5" s="2" t="inlineStr">
        <is>
          <t>F1-04</t>
        </is>
      </c>
      <c r="B5" s="2" t="n">
        <v>1</v>
      </c>
      <c r="C5" s="2" t="inlineStr">
        <is>
          <t>UC-07</t>
        </is>
      </c>
      <c r="D5" s="2" t="inlineStr">
        <is>
          <t>Petani</t>
        </is>
      </c>
      <c r="E5" s="3" t="inlineStr">
        <is>
          <t>Buka dashboard petani</t>
        </is>
      </c>
      <c r="F5" s="3" t="inlineStr">
        <is>
          <t>Kartu screenhouse + 11 parameter</t>
        </is>
      </c>
      <c r="G5" s="3" t="n"/>
      <c r="H5" s="2" t="n"/>
      <c r="I5" s="3" t="n"/>
    </row>
    <row r="6">
      <c r="A6" s="2" t="inlineStr">
        <is>
          <t>F1-05</t>
        </is>
      </c>
      <c r="B6" s="2" t="n">
        <v>1</v>
      </c>
      <c r="C6" s="2" t="inlineStr">
        <is>
          <t>UC-08</t>
        </is>
      </c>
      <c r="D6" s="2" t="inlineStr">
        <is>
          <t>Operator</t>
        </is>
      </c>
      <c r="E6" s="3" t="inlineStr">
        <is>
          <t>Buka detail screenhouse</t>
        </is>
      </c>
      <c r="F6" s="3" t="inlineStr">
        <is>
          <t>Parameter dan lokasi tampil</t>
        </is>
      </c>
      <c r="G6" s="3" t="n"/>
      <c r="H6" s="2" t="n"/>
      <c r="I6" s="3" t="n"/>
    </row>
    <row r="7">
      <c r="A7" s="2" t="inlineStr">
        <is>
          <t>F1-06</t>
        </is>
      </c>
      <c r="B7" s="2" t="n">
        <v>1</v>
      </c>
      <c r="C7" s="2" t="inlineStr">
        <is>
          <t>UC-09</t>
        </is>
      </c>
      <c r="D7" s="2" t="inlineStr">
        <is>
          <t>Operator</t>
        </is>
      </c>
      <c r="E7" s="3" t="inlineStr">
        <is>
          <t>Buka peta operator</t>
        </is>
      </c>
      <c r="F7" s="3" t="inlineStr">
        <is>
          <t>Marker screenhouse muncul</t>
        </is>
      </c>
      <c r="G7" s="3" t="n"/>
      <c r="H7" s="2" t="n"/>
      <c r="I7" s="3" t="n"/>
    </row>
    <row r="8">
      <c r="A8" s="2" t="inlineStr">
        <is>
          <t>F1-07</t>
        </is>
      </c>
      <c r="B8" s="2" t="n">
        <v>1</v>
      </c>
      <c r="C8" s="2" t="inlineStr">
        <is>
          <t>UC-10</t>
        </is>
      </c>
      <c r="D8" s="2" t="inlineStr">
        <is>
          <t>Operator</t>
        </is>
      </c>
      <c r="E8" s="3" t="inlineStr">
        <is>
          <t>Filter provinsi</t>
        </is>
      </c>
      <c r="F8" s="3" t="inlineStr">
        <is>
          <t>Peta terfilter</t>
        </is>
      </c>
      <c r="G8" s="3" t="n"/>
      <c r="H8" s="2" t="n"/>
      <c r="I8" s="3" t="n"/>
    </row>
    <row r="9">
      <c r="A9" s="2" t="inlineStr">
        <is>
          <t>F1-08</t>
        </is>
      </c>
      <c r="B9" s="2" t="n">
        <v>1</v>
      </c>
      <c r="C9" s="2" t="inlineStr">
        <is>
          <t>UC-11</t>
        </is>
      </c>
      <c r="D9" s="2" t="inlineStr">
        <is>
          <t>Operator</t>
        </is>
      </c>
      <c r="E9" s="3" t="inlineStr">
        <is>
          <t>Lihat status device</t>
        </is>
      </c>
      <c r="F9" s="3" t="inlineStr">
        <is>
          <t>Status healthy/warning/offline</t>
        </is>
      </c>
      <c r="G9" s="3" t="n"/>
      <c r="H9" s="2" t="n"/>
      <c r="I9" s="3" t="n"/>
    </row>
    <row r="10">
      <c r="A10" s="2" t="inlineStr">
        <is>
          <t>F1-09</t>
        </is>
      </c>
      <c r="B10" s="2" t="n">
        <v>1</v>
      </c>
      <c r="C10" s="2" t="inlineStr">
        <is>
          <t>UC-03</t>
        </is>
      </c>
      <c r="D10" s="2" t="inlineStr">
        <is>
          <t>Operator</t>
        </is>
      </c>
      <c r="E10" s="3" t="inlineStr">
        <is>
          <t>Approve petani pending</t>
        </is>
      </c>
      <c r="F10" s="3" t="inlineStr">
        <is>
          <t>Status approved; petani bisa login</t>
        </is>
      </c>
      <c r="G10" s="3" t="n"/>
      <c r="H10" s="2" t="n"/>
      <c r="I10" s="3" t="n"/>
    </row>
    <row r="11">
      <c r="A11" s="2" t="inlineStr">
        <is>
          <t>F1-10</t>
        </is>
      </c>
      <c r="B11" s="2" t="n">
        <v>1</v>
      </c>
      <c r="C11" s="2" t="inlineStr">
        <is>
          <t>UC-06</t>
        </is>
      </c>
      <c r="D11" s="2" t="inlineStr">
        <is>
          <t>Sensor</t>
        </is>
      </c>
      <c r="E11" s="3" t="inlineStr">
        <is>
          <t>MQTT node_code tidak terdaftar</t>
        </is>
      </c>
      <c r="F11" s="3" t="inlineStr">
        <is>
          <t>Data ditolak; log error</t>
        </is>
      </c>
      <c r="G11" s="3" t="n"/>
      <c r="H11" s="2" t="n"/>
      <c r="I11" s="3" t="n"/>
    </row>
    <row r="12">
      <c r="A12" s="4" t="inlineStr">
        <is>
          <t>F2-01</t>
        </is>
      </c>
      <c r="B12" s="4" t="n">
        <v>2</v>
      </c>
      <c r="C12" s="4" t="inlineStr">
        <is>
          <t>UC-13</t>
        </is>
      </c>
      <c r="D12" s="4" t="inlineStr">
        <is>
          <t>Petani</t>
        </is>
      </c>
      <c r="E12" s="5" t="inlineStr">
        <is>
          <t>Buka /petani/tren</t>
        </is>
      </c>
      <c r="F12" s="5" t="inlineStr">
        <is>
          <t>Grafik NPK 24 jam</t>
        </is>
      </c>
      <c r="G12" s="5" t="n"/>
      <c r="H12" s="4" t="n"/>
      <c r="I12" s="5" t="n"/>
    </row>
    <row r="13">
      <c r="A13" s="4" t="inlineStr">
        <is>
          <t>F2-02</t>
        </is>
      </c>
      <c r="B13" s="4" t="n">
        <v>2</v>
      </c>
      <c r="C13" s="4" t="inlineStr">
        <is>
          <t>UC-13</t>
        </is>
      </c>
      <c r="D13" s="4" t="inlineStr">
        <is>
          <t>Petani</t>
        </is>
      </c>
      <c r="E13" s="5" t="inlineStr">
        <is>
          <t>Pilih screenhouse lain</t>
        </is>
      </c>
      <c r="F13" s="5" t="inlineStr">
        <is>
          <t>Grafik berubah sesuai SH</t>
        </is>
      </c>
      <c r="G13" s="5" t="n"/>
      <c r="H13" s="4" t="n"/>
      <c r="I13" s="5" t="n"/>
    </row>
    <row r="14">
      <c r="A14" s="4" t="inlineStr">
        <is>
          <t>F2-03</t>
        </is>
      </c>
      <c r="B14" s="4" t="n">
        <v>2</v>
      </c>
      <c r="C14" s="4" t="inlineStr">
        <is>
          <t>UC-13</t>
        </is>
      </c>
      <c r="D14" s="4" t="inlineStr">
        <is>
          <t>Petani</t>
        </is>
      </c>
      <c r="E14" s="5" t="inlineStr">
        <is>
          <t>SH belum punya histori</t>
        </is>
      </c>
      <c r="F14" s="5" t="inlineStr">
        <is>
          <t>Pesan data belum tersedia</t>
        </is>
      </c>
      <c r="G14" s="5" t="n"/>
      <c r="H14" s="4" t="n"/>
      <c r="I14" s="5" t="n"/>
    </row>
    <row r="15">
      <c r="A15" s="4" t="inlineStr">
        <is>
          <t>F2-04</t>
        </is>
      </c>
      <c r="B15" s="4" t="n">
        <v>2</v>
      </c>
      <c r="C15" s="4" t="inlineStr">
        <is>
          <t>UC-14</t>
        </is>
      </c>
      <c r="D15" s="4" t="inlineStr">
        <is>
          <t>Operator</t>
        </is>
      </c>
      <c r="E15" s="5" t="inlineStr">
        <is>
          <t>Grafik historis di detail SH</t>
        </is>
      </c>
      <c r="F15" s="5" t="inlineStr">
        <is>
          <t>Chart 24 jam tampil</t>
        </is>
      </c>
      <c r="G15" s="5" t="n"/>
      <c r="H15" s="4" t="n"/>
      <c r="I15" s="5" t="n"/>
    </row>
    <row r="16">
      <c r="A16" s="4" t="inlineStr">
        <is>
          <t>F2-05</t>
        </is>
      </c>
      <c r="B16" s="4" t="n">
        <v>2</v>
      </c>
      <c r="C16" s="4" t="inlineStr">
        <is>
          <t>UC-12</t>
        </is>
      </c>
      <c r="D16" s="4" t="inlineStr">
        <is>
          <t>Operator</t>
        </is>
      </c>
      <c r="E16" s="5" t="inlineStr">
        <is>
          <t>Buka laporan wilayah</t>
        </is>
      </c>
      <c r="F16" s="5" t="inlineStr">
        <is>
          <t>KPI + grafik agregat</t>
        </is>
      </c>
      <c r="G16" s="5" t="n"/>
      <c r="H16" s="4" t="n"/>
      <c r="I16" s="5" t="n"/>
    </row>
    <row r="17">
      <c r="A17" s="4" t="inlineStr">
        <is>
          <t>F2-06</t>
        </is>
      </c>
      <c r="B17" s="4" t="n">
        <v>2</v>
      </c>
      <c r="C17" s="4" t="inlineStr">
        <is>
          <t>UC-12</t>
        </is>
      </c>
      <c r="D17" s="4" t="inlineStr">
        <is>
          <t>Operator</t>
        </is>
      </c>
      <c r="E17" s="5" t="inlineStr">
        <is>
          <t>Filter periode laporan</t>
        </is>
      </c>
      <c r="F17" s="5" t="inlineStr">
        <is>
          <t>Data sesuai filter</t>
        </is>
      </c>
      <c r="G17" s="5" t="n"/>
      <c r="H17" s="4" t="n"/>
      <c r="I17" s="5" t="n"/>
    </row>
    <row r="18">
      <c r="A18" s="4" t="inlineStr">
        <is>
          <t>F2-07</t>
        </is>
      </c>
      <c r="B18" s="4" t="n">
        <v>2</v>
      </c>
      <c r="C18" s="4" t="inlineStr">
        <is>
          <t>UC-12</t>
        </is>
      </c>
      <c r="D18" s="4" t="inlineStr">
        <is>
          <t>Operator</t>
        </is>
      </c>
      <c r="E18" s="5" t="inlineStr">
        <is>
          <t>Unduh PDF laporan</t>
        </is>
      </c>
      <c r="F18" s="5" t="inlineStr">
        <is>
          <t>File PDF terunduh</t>
        </is>
      </c>
      <c r="G18" s="5" t="n"/>
      <c r="H18" s="4" t="n"/>
      <c r="I18" s="5" t="n"/>
    </row>
    <row r="19">
      <c r="A19" s="4" t="inlineStr">
        <is>
          <t>F2-08</t>
        </is>
      </c>
      <c r="B19" s="4" t="n">
        <v>2</v>
      </c>
      <c r="C19" s="4" t="inlineStr">
        <is>
          <t>UC-12</t>
        </is>
      </c>
      <c r="D19" s="4" t="inlineStr">
        <is>
          <t>Operator</t>
        </is>
      </c>
      <c r="E19" s="5" t="inlineStr">
        <is>
          <t>Filter tanpa data</t>
        </is>
      </c>
      <c r="F19" s="5" t="inlineStr">
        <is>
          <t>Pesan data kosong</t>
        </is>
      </c>
      <c r="G19" s="5" t="n"/>
      <c r="H19" s="4" t="n"/>
      <c r="I19" s="5" t="n"/>
    </row>
    <row r="20">
      <c r="A20" s="4" t="inlineStr">
        <is>
          <t>F2-09</t>
        </is>
      </c>
      <c r="B20" s="4" t="n">
        <v>2</v>
      </c>
      <c r="C20" s="4" t="inlineStr">
        <is>
          <t>UC-07</t>
        </is>
      </c>
      <c r="D20" s="4" t="inlineStr">
        <is>
          <t>Petani</t>
        </is>
      </c>
      <c r="E20" s="5" t="inlineStr">
        <is>
          <t>Dashboard tetap realtime setelah tren</t>
        </is>
      </c>
      <c r="F20" s="5" t="inlineStr">
        <is>
          <t>Data terbaru masih update</t>
        </is>
      </c>
      <c r="G20" s="5" t="n"/>
      <c r="H20" s="4" t="n"/>
      <c r="I20" s="5" t="n"/>
    </row>
    <row r="21">
      <c r="A21" s="4" t="inlineStr">
        <is>
          <t>F2-10</t>
        </is>
      </c>
      <c r="B21" s="4" t="n">
        <v>2</v>
      </c>
      <c r="C21" s="4" t="inlineStr">
        <is>
          <t>UC-14</t>
        </is>
      </c>
      <c r="D21" s="4" t="inlineStr">
        <is>
          <t>Admin</t>
        </is>
      </c>
      <c r="E21" s="5" t="inlineStr">
        <is>
          <t>Grafik historis admin</t>
        </is>
      </c>
      <c r="F21" s="5" t="inlineStr">
        <is>
          <t>Chart tampil di detail</t>
        </is>
      </c>
      <c r="G21" s="5" t="n"/>
      <c r="H21" s="4" t="n"/>
      <c r="I21" s="5" t="n"/>
    </row>
    <row r="22">
      <c r="A22" s="6" t="inlineStr">
        <is>
          <t>F3-01</t>
        </is>
      </c>
      <c r="B22" s="6" t="n">
        <v>3</v>
      </c>
      <c r="C22" s="6" t="inlineStr">
        <is>
          <t>UC-15</t>
        </is>
      </c>
      <c r="D22" s="6" t="inlineStr">
        <is>
          <t>Admin</t>
        </is>
      </c>
      <c r="E22" s="7" t="inlineStr">
        <is>
          <t>Simpan threshold baru</t>
        </is>
      </c>
      <c r="F22" s="7" t="inlineStr">
        <is>
          <t>threshold_snapshots ter-update</t>
        </is>
      </c>
      <c r="G22" s="7" t="n"/>
      <c r="H22" s="6" t="n"/>
      <c r="I22" s="7" t="n"/>
    </row>
    <row r="23">
      <c r="A23" s="6" t="inlineStr">
        <is>
          <t>F3-02</t>
        </is>
      </c>
      <c r="B23" s="6" t="n">
        <v>3</v>
      </c>
      <c r="C23" s="6" t="inlineStr">
        <is>
          <t>UC-16</t>
        </is>
      </c>
      <c r="D23" s="6" t="inlineStr">
        <is>
          <t>Sistem</t>
        </is>
      </c>
      <c r="E23" s="7" t="inlineStr">
        <is>
          <t>Sensor di luar batas</t>
        </is>
      </c>
      <c r="F23" s="7" t="inlineStr">
        <is>
          <t>Alert active di DB</t>
        </is>
      </c>
      <c r="G23" s="7" t="n"/>
      <c r="H23" s="6" t="n"/>
      <c r="I23" s="7" t="n"/>
    </row>
    <row r="24">
      <c r="A24" s="6" t="inlineStr">
        <is>
          <t>F3-03</t>
        </is>
      </c>
      <c r="B24" s="6" t="n">
        <v>3</v>
      </c>
      <c r="C24" s="6" t="inlineStr">
        <is>
          <t>UC-16</t>
        </is>
      </c>
      <c r="D24" s="6" t="inlineStr">
        <is>
          <t>Sistem</t>
        </is>
      </c>
      <c r="E24" s="7" t="inlineStr">
        <is>
          <t>Semua parameter normal</t>
        </is>
      </c>
      <c r="F24" s="7" t="inlineStr">
        <is>
          <t>Tidak ada alert baru</t>
        </is>
      </c>
      <c r="G24" s="7" t="n"/>
      <c r="H24" s="6" t="n"/>
      <c r="I24" s="7" t="n"/>
    </row>
    <row r="25">
      <c r="A25" s="6" t="inlineStr">
        <is>
          <t>F3-04</t>
        </is>
      </c>
      <c r="B25" s="6" t="n">
        <v>3</v>
      </c>
      <c r="C25" s="6" t="inlineStr">
        <is>
          <t>UC-17</t>
        </is>
      </c>
      <c r="D25" s="6" t="inlineStr">
        <is>
          <t>Petani</t>
        </is>
      </c>
      <c r="E25" s="7" t="inlineStr">
        <is>
          <t>Buka halaman peringatan</t>
        </is>
      </c>
      <c r="F25" s="7" t="inlineStr">
        <is>
          <t>Daftar alert aktif</t>
        </is>
      </c>
      <c r="G25" s="7" t="n"/>
      <c r="H25" s="6" t="n"/>
      <c r="I25" s="7" t="n"/>
    </row>
    <row r="26">
      <c r="A26" s="6" t="inlineStr">
        <is>
          <t>F3-05</t>
        </is>
      </c>
      <c r="B26" s="6" t="n">
        <v>3</v>
      </c>
      <c r="C26" s="6" t="inlineStr">
        <is>
          <t>UC-18</t>
        </is>
      </c>
      <c r="D26" s="6" t="inlineStr">
        <is>
          <t>Petani</t>
        </is>
      </c>
      <c r="E26" s="7" t="inlineStr">
        <is>
          <t>App terbuka saat alert</t>
        </is>
      </c>
      <c r="F26" s="7" t="inlineStr">
        <is>
          <t>Toast/badge Socket.IO</t>
        </is>
      </c>
      <c r="G26" s="7" t="n"/>
      <c r="H26" s="6" t="n"/>
      <c r="I26" s="7" t="n"/>
    </row>
    <row r="27">
      <c r="A27" s="6" t="inlineStr">
        <is>
          <t>F3-06</t>
        </is>
      </c>
      <c r="B27" s="6" t="n">
        <v>3</v>
      </c>
      <c r="C27" s="6" t="inlineStr">
        <is>
          <t>UC-18</t>
        </is>
      </c>
      <c r="D27" s="6" t="inlineStr">
        <is>
          <t>Petani</t>
        </is>
      </c>
      <c r="E27" s="7" t="inlineStr">
        <is>
          <t>PWA tertutup saat alert</t>
        </is>
      </c>
      <c r="F27" s="7" t="inlineStr">
        <is>
          <t>Web Push diterima</t>
        </is>
      </c>
      <c r="G27" s="7" t="n"/>
      <c r="H27" s="6" t="n"/>
      <c r="I27" s="7" t="n"/>
    </row>
    <row r="28">
      <c r="A28" s="6" t="inlineStr">
        <is>
          <t>F3-07</t>
        </is>
      </c>
      <c r="B28" s="6" t="n">
        <v>3</v>
      </c>
      <c r="C28" s="6" t="inlineStr">
        <is>
          <t>UC-19</t>
        </is>
      </c>
      <c r="D28" s="6" t="inlineStr">
        <is>
          <t>Petani</t>
        </is>
      </c>
      <c r="E28" s="7" t="inlineStr">
        <is>
          <t>Resolve alert</t>
        </is>
      </c>
      <c r="F28" s="7" t="inlineStr">
        <is>
          <t>Status resolved</t>
        </is>
      </c>
      <c r="G28" s="7" t="n"/>
      <c r="H28" s="6" t="n"/>
      <c r="I28" s="7" t="n"/>
    </row>
    <row r="29">
      <c r="A29" s="6" t="inlineStr">
        <is>
          <t>F3-08</t>
        </is>
      </c>
      <c r="B29" s="6" t="n">
        <v>3</v>
      </c>
      <c r="C29" s="6" t="inlineStr">
        <is>
          <t>UC-20</t>
        </is>
      </c>
      <c r="D29" s="6" t="inlineStr">
        <is>
          <t>Petani</t>
        </is>
      </c>
      <c r="E29" s="7" t="inlineStr">
        <is>
          <t>Toggle fan ON</t>
        </is>
      </c>
      <c r="F29" s="7" t="inlineStr">
        <is>
          <t>Perintah MQTT terkirim</t>
        </is>
      </c>
      <c r="G29" s="7" t="n"/>
      <c r="H29" s="6" t="n"/>
      <c r="I29" s="7" t="n"/>
    </row>
    <row r="30">
      <c r="A30" s="6" t="inlineStr">
        <is>
          <t>F3-09</t>
        </is>
      </c>
      <c r="B30" s="6" t="n">
        <v>3</v>
      </c>
      <c r="C30" s="6" t="inlineStr">
        <is>
          <t>UC-21</t>
        </is>
      </c>
      <c r="D30" s="6" t="inlineStr">
        <is>
          <t>Hardware</t>
        </is>
      </c>
      <c r="E30" s="7" t="inlineStr">
        <is>
          <t>Telemetry balik status relay</t>
        </is>
      </c>
      <c r="F30" s="7" t="inlineStr">
        <is>
          <t>Dashboard update status</t>
        </is>
      </c>
      <c r="G30" s="7" t="n"/>
      <c r="H30" s="6" t="n"/>
      <c r="I30" s="7" t="n"/>
    </row>
    <row r="31">
      <c r="A31" s="6" t="inlineStr">
        <is>
          <t>F3-10</t>
        </is>
      </c>
      <c r="B31" s="6" t="n">
        <v>3</v>
      </c>
      <c r="C31" s="6" t="inlineStr">
        <is>
          <t>UC-20</t>
        </is>
      </c>
      <c r="D31" s="6" t="inlineStr">
        <is>
          <t>Petani</t>
        </is>
      </c>
      <c r="E31" s="7" t="inlineStr">
        <is>
          <t>Toggle aktuator OFF</t>
        </is>
      </c>
      <c r="F31" s="7" t="inlineStr">
        <is>
          <t>Status OFF di UI</t>
        </is>
      </c>
      <c r="G31" s="7" t="n"/>
      <c r="H31" s="6" t="n"/>
      <c r="I31" s="7" t="n"/>
    </row>
  </sheetData>
  <autoFilter ref="A1:I31"/>
  <dataValidations count="1">
    <dataValidation sqref="H2:H31" showDropDown="0" showInputMessage="0" showErrorMessage="0" allowBlank="1" errorTitle="Status UAT" error="Pilih PASS, FAIL, atau SKIP" promptTitle="Status" prompt="Isi setelah pengujian" type="list">
      <formula1>"PASS,FAIL,SKIP"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Increment</t>
        </is>
      </c>
      <c r="B1" s="1" t="inlineStr">
        <is>
          <t>Total Skenario</t>
        </is>
      </c>
      <c r="C1" s="1" t="inlineStr">
        <is>
          <t>PASS</t>
        </is>
      </c>
      <c r="D1" s="1" t="inlineStr">
        <is>
          <t>FAIL</t>
        </is>
      </c>
      <c r="E1" s="1" t="inlineStr">
        <is>
          <t>SKIP</t>
        </is>
      </c>
      <c r="F1" s="1" t="inlineStr">
        <is>
          <t>Pass Rate (%)</t>
        </is>
      </c>
      <c r="G1" s="1" t="inlineStr">
        <is>
          <t>Error Rate (%)</t>
        </is>
      </c>
    </row>
    <row r="2">
      <c r="A2" s="8" t="inlineStr">
        <is>
          <t>Increment 1</t>
        </is>
      </c>
      <c r="B2" s="8">
        <f>COUNTIF('UAT Matrix'!B:B,1)</f>
        <v/>
      </c>
      <c r="C2" s="8">
        <f>COUNTIFS('UAT Matrix'!B:B,1,'UAT Matrix'!H:H,"PASS")</f>
        <v/>
      </c>
      <c r="D2" s="8">
        <f>COUNTIFS('UAT Matrix'!B:B,1,'UAT Matrix'!H:H,"FAIL")</f>
        <v/>
      </c>
      <c r="E2" s="8">
        <f>COUNTIFS('UAT Matrix'!B:B,1,'UAT Matrix'!H:H,"SKIP")</f>
        <v/>
      </c>
      <c r="F2" s="9">
        <f>IF(B2=0,"",C2/B2*100)</f>
        <v/>
      </c>
      <c r="G2" s="9">
        <f>IF(B2=0,"",D2/B2*100)</f>
        <v/>
      </c>
    </row>
    <row r="3">
      <c r="A3" s="8" t="inlineStr">
        <is>
          <t>Increment 2</t>
        </is>
      </c>
      <c r="B3" s="8">
        <f>COUNTIF('UAT Matrix'!B:B,2)</f>
        <v/>
      </c>
      <c r="C3" s="8">
        <f>COUNTIFS('UAT Matrix'!B:B,2,'UAT Matrix'!H:H,"PASS")</f>
        <v/>
      </c>
      <c r="D3" s="8">
        <f>COUNTIFS('UAT Matrix'!B:B,2,'UAT Matrix'!H:H,"FAIL")</f>
        <v/>
      </c>
      <c r="E3" s="8">
        <f>COUNTIFS('UAT Matrix'!B:B,2,'UAT Matrix'!H:H,"SKIP")</f>
        <v/>
      </c>
      <c r="F3" s="9">
        <f>IF(B3=0,"",C3/B3*100)</f>
        <v/>
      </c>
      <c r="G3" s="9">
        <f>IF(B3=0,"",D3/B3*100)</f>
        <v/>
      </c>
    </row>
    <row r="4">
      <c r="A4" s="8" t="inlineStr">
        <is>
          <t>Increment 3</t>
        </is>
      </c>
      <c r="B4" s="8">
        <f>COUNTIF('UAT Matrix'!B:B,3)</f>
        <v/>
      </c>
      <c r="C4" s="8">
        <f>COUNTIFS('UAT Matrix'!B:B,3,'UAT Matrix'!H:H,"PASS")</f>
        <v/>
      </c>
      <c r="D4" s="8">
        <f>COUNTIFS('UAT Matrix'!B:B,3,'UAT Matrix'!H:H,"FAIL")</f>
        <v/>
      </c>
      <c r="E4" s="8">
        <f>COUNTIFS('UAT Matrix'!B:B,3,'UAT Matrix'!H:H,"SKIP")</f>
        <v/>
      </c>
      <c r="F4" s="9">
        <f>IF(B4=0,"",C4/B4*100)</f>
        <v/>
      </c>
      <c r="G4" s="9">
        <f>IF(B4=0,"",D4/B4*100)</f>
        <v/>
      </c>
    </row>
    <row r="5">
      <c r="A5" s="10" t="inlineStr">
        <is>
          <t>TOTAL</t>
        </is>
      </c>
      <c r="B5" s="10">
        <f>SUM(B2:B4)</f>
        <v/>
      </c>
      <c r="C5" s="10">
        <f>SUM(C2:C4)</f>
        <v/>
      </c>
      <c r="D5" s="10">
        <f>SUM(D2:D4)</f>
        <v/>
      </c>
      <c r="E5" s="10">
        <f>SUM(E2:E4)</f>
        <v/>
      </c>
      <c r="F5" s="11">
        <f>IF(B5=0,"",C5/B5*100)</f>
        <v/>
      </c>
      <c r="G5" s="11">
        <f>IF(B5=0,"",D5/B5*100)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2" t="inlineStr">
        <is>
          <t>Cara pakai UAT Matrix</t>
        </is>
      </c>
      <c r="B1" t="inlineStr"/>
    </row>
    <row r="2">
      <c r="A2" s="12" t="inlineStr"/>
      <c r="B2" t="inlineStr"/>
    </row>
    <row r="3">
      <c r="A3" s="12" t="inlineStr">
        <is>
          <t>1.</t>
        </is>
      </c>
      <c r="B3" t="inlineStr">
        <is>
          <t>Jalankan skenario di kolom Skenario sesuai urutan increment.</t>
        </is>
      </c>
    </row>
    <row r="4">
      <c r="A4" s="12" t="inlineStr">
        <is>
          <t>2.</t>
        </is>
      </c>
      <c r="B4" t="inlineStr">
        <is>
          <t>Isi kolom Hasil Aktual dengan apa yang benar-benar terjadi.</t>
        </is>
      </c>
    </row>
    <row r="5">
      <c r="A5" s="12" t="inlineStr">
        <is>
          <t>3.</t>
        </is>
      </c>
      <c r="B5" t="inlineStr">
        <is>
          <t>Pilih Status: PASS (sesuai expected), FAIL (tidak sesuai), SKIP (tidak diuji).</t>
        </is>
      </c>
    </row>
    <row r="6">
      <c r="A6" s="12" t="inlineStr">
        <is>
          <t>4.</t>
        </is>
      </c>
      <c r="B6" t="inlineStr">
        <is>
          <t>Lihat sheet Ringkasan — Pass Rate &amp; Error Rate terhitung otomatis.</t>
        </is>
      </c>
    </row>
    <row r="7">
      <c r="A7" s="12" t="inlineStr">
        <is>
          <t>5.</t>
        </is>
      </c>
      <c r="B7" t="inlineStr">
        <is>
          <t>Copy angka Pass Rate ke metrics-bar.csv untuk grafik evaluasi.</t>
        </is>
      </c>
    </row>
    <row r="8">
      <c r="A8" s="12" t="inlineStr"/>
      <c r="B8" t="inlineStr"/>
    </row>
    <row r="9">
      <c r="A9" s="12" t="inlineStr">
        <is>
          <t>Warna baris</t>
        </is>
      </c>
      <c r="B9" t="inlineStr">
        <is>
          <t>Biru = Inc 1 | Hijau = Inc 2 | Oranye = Inc 3</t>
        </is>
      </c>
    </row>
    <row r="10">
      <c r="A10" s="12" t="inlineStr">
        <is>
          <t>Referensi</t>
        </is>
      </c>
      <c r="B10" t="inlineStr">
        <is>
          <t>docs/use-case-scenarios.md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2026-06-09T12:29:59Z</dcterms:created>
  <dcterms:modified xsi:type="dcterms:W3CDTF">2026-06-09T12:29:59Z</dcterms:modified>
</cp:coreProperties>
</file>